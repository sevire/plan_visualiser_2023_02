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4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velopment/PycharmProjects/plan_visualiser2025/documents/"/>
    </mc:Choice>
  </mc:AlternateContent>
  <xr:revisionPtr revIDLastSave="0" documentId="8_{D2E122EE-E280-1E4E-9751-645BCD8BACF8}" xr6:coauthVersionLast="47" xr6:coauthVersionMax="47" xr10:uidLastSave="{00000000-0000-0000-0000-000000000000}"/>
  <bookViews>
    <workbookView xWindow="0" yWindow="500" windowWidth="33600" windowHeight="20500" xr2:uid="{808C9EF2-CE16-DB43-81A3-17996B8C7943}"/>
  </bookViews>
  <sheets>
    <sheet name="ThemeStyles" sheetId="1" r:id="rId1"/>
    <sheet name="Colours" sheetId="3" r:id="rId2"/>
    <sheet name="Lookup" sheetId="2" r:id="rId3"/>
  </sheets>
  <functionGroups builtInGroupCount="19"/>
  <definedNames>
    <definedName name="ColourName">_xlfn.ANCHORARRAY(Colours!$E$5)&amp;_xlfn.LET(_xlpm.full_name,_xlfn.ANCHORARRAY(Colours!$F$5),IF(_xlpm.full_name="","","-"&amp;_xlpm.full_name))</definedName>
    <definedName name="NumAttributes">Lookup!#REF!</definedName>
    <definedName name="NumColourNames">Lookup!$H$4</definedName>
    <definedName name="NumColourShades">Lookup!$K$4</definedName>
    <definedName name="NumColourVariants">Lookup!$K$3</definedName>
    <definedName name="NumElements">Lookup!$D$4</definedName>
    <definedName name="NumStyleVariants">Lookup!$D$3</definedName>
    <definedName name="ThemeName">ThemeStyles!$D$5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3" l="1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G5" i="3" a="1"/>
  <c r="G5" i="3" s="1"/>
  <c r="K8" i="1" s="1" a="1"/>
  <c r="K8" i="1" s="1"/>
  <c r="B8" i="1" a="1"/>
  <c r="B8" i="1" s="1"/>
  <c r="D8" i="1" s="1" a="1"/>
  <c r="D8" i="1" s="1"/>
  <c r="E8" i="1" s="1" a="1"/>
  <c r="E8" i="1" s="1"/>
  <c r="G8" i="1" s="1"/>
  <c r="P8" i="1" s="1"/>
  <c r="F7" i="2"/>
  <c r="F8" i="2"/>
  <c r="F9" i="2"/>
  <c r="F10" i="2"/>
  <c r="F11" i="2" s="1"/>
  <c r="F12" i="2" s="1"/>
  <c r="D3" i="2"/>
  <c r="I5" i="3" a="1"/>
  <c r="I30" i="3" a="1"/>
  <c r="I33" i="3" a="1"/>
  <c r="I17" i="3" a="1"/>
  <c r="I28" i="3" a="1"/>
  <c r="I8" i="3" a="1"/>
  <c r="I39" i="3" a="1"/>
  <c r="I35" i="3" a="1"/>
  <c r="I31" i="3" a="1"/>
  <c r="I27" i="3" a="1"/>
  <c r="I23" i="3" a="1"/>
  <c r="I19" i="3" a="1"/>
  <c r="I15" i="3" a="1"/>
  <c r="I11" i="3" a="1"/>
  <c r="I7" i="3" a="1"/>
  <c r="I22" i="3" a="1"/>
  <c r="I14" i="3" a="1"/>
  <c r="I6" i="3" a="1"/>
  <c r="I25" i="3" a="1"/>
  <c r="I9" i="3" a="1"/>
  <c r="I24" i="3" a="1"/>
  <c r="I12" i="3" a="1"/>
  <c r="I38" i="3" a="1"/>
  <c r="I26" i="3" a="1"/>
  <c r="I18" i="3" a="1"/>
  <c r="I10" i="3" a="1"/>
  <c r="I29" i="3" a="1"/>
  <c r="I21" i="3" a="1"/>
  <c r="I36" i="3" a="1"/>
  <c r="I20" i="3" a="1"/>
  <c r="I34" i="3" a="1"/>
  <c r="I37" i="3" a="1"/>
  <c r="I13" i="3" a="1"/>
  <c r="I32" i="3" a="1"/>
  <c r="I16" i="3" a="1"/>
  <c r="G10" i="1" l="1"/>
  <c r="P10" i="1" s="1"/>
  <c r="G9" i="1"/>
  <c r="P9" i="1" s="1"/>
  <c r="G16" i="1"/>
  <c r="P16" i="1" s="1"/>
  <c r="G15" i="1"/>
  <c r="P15" i="1" s="1"/>
  <c r="G14" i="1"/>
  <c r="P14" i="1" s="1"/>
  <c r="G19" i="1"/>
  <c r="P19" i="1" s="1"/>
  <c r="G11" i="1"/>
  <c r="P11" i="1" s="1"/>
  <c r="G18" i="1"/>
  <c r="P18" i="1" s="1"/>
  <c r="G17" i="1"/>
  <c r="P17" i="1" s="1"/>
  <c r="G21" i="1"/>
  <c r="P21" i="1" s="1"/>
  <c r="G13" i="1"/>
  <c r="P13" i="1" s="1"/>
  <c r="G20" i="1"/>
  <c r="P20" i="1" s="1"/>
  <c r="G12" i="1"/>
  <c r="P12" i="1" s="1"/>
  <c r="I16" i="3"/>
  <c r="I32" i="3"/>
  <c r="I13" i="3"/>
  <c r="I37" i="3"/>
  <c r="I34" i="3"/>
  <c r="I20" i="3"/>
  <c r="I36" i="3"/>
  <c r="I21" i="3"/>
  <c r="I29" i="3"/>
  <c r="I10" i="3"/>
  <c r="I18" i="3"/>
  <c r="I26" i="3"/>
  <c r="I38" i="3"/>
  <c r="I12" i="3"/>
  <c r="I24" i="3"/>
  <c r="I9" i="3"/>
  <c r="I25" i="3"/>
  <c r="I6" i="3"/>
  <c r="I14" i="3"/>
  <c r="I22" i="3"/>
  <c r="I7" i="3"/>
  <c r="I11" i="3"/>
  <c r="I15" i="3"/>
  <c r="I19" i="3"/>
  <c r="I23" i="3"/>
  <c r="I27" i="3"/>
  <c r="I31" i="3"/>
  <c r="I35" i="3"/>
  <c r="I39" i="3"/>
  <c r="I8" i="3"/>
  <c r="I28" i="3"/>
  <c r="I17" i="3"/>
  <c r="I33" i="3"/>
  <c r="I30" i="3"/>
  <c r="M10" i="1" a="1"/>
  <c r="M10" i="1" s="1"/>
  <c r="J5" i="3"/>
  <c r="K10" i="1" a="1"/>
  <c r="K10" i="1" s="1"/>
  <c r="M9" i="1" a="1"/>
  <c r="M9" i="1" s="1"/>
  <c r="L9" i="1" a="1"/>
  <c r="L9" i="1" s="1"/>
  <c r="L18" i="1" a="1"/>
  <c r="L18" i="1" s="1"/>
  <c r="M20" i="1" a="1"/>
  <c r="M20" i="1" s="1"/>
  <c r="L13" i="1" a="1"/>
  <c r="L13" i="1" s="1"/>
  <c r="M17" i="1" a="1"/>
  <c r="M17" i="1" s="1"/>
  <c r="L10" i="1" a="1"/>
  <c r="L10" i="1" s="1"/>
  <c r="K20" i="1" a="1"/>
  <c r="K20" i="1" s="1"/>
  <c r="M12" i="1" a="1"/>
  <c r="M12" i="1" s="1"/>
  <c r="M19" i="1" a="1"/>
  <c r="M19" i="1" s="1"/>
  <c r="L12" i="1" a="1"/>
  <c r="L12" i="1" s="1"/>
  <c r="L19" i="1" a="1"/>
  <c r="L19" i="1" s="1"/>
  <c r="K12" i="1" a="1"/>
  <c r="K12" i="1" s="1"/>
  <c r="M21" i="1" a="1"/>
  <c r="M21" i="1" s="1"/>
  <c r="K19" i="1" a="1"/>
  <c r="K19" i="1" s="1"/>
  <c r="L15" i="1" a="1"/>
  <c r="L15" i="1" s="1"/>
  <c r="M11" i="1" a="1"/>
  <c r="M11" i="1" s="1"/>
  <c r="K9" i="1" a="1"/>
  <c r="K9" i="1" s="1"/>
  <c r="K21" i="1" a="1"/>
  <c r="K21" i="1" s="1"/>
  <c r="M13" i="1" a="1"/>
  <c r="M13" i="1" s="1"/>
  <c r="K18" i="1" a="1"/>
  <c r="K18" i="1" s="1"/>
  <c r="L20" i="1" a="1"/>
  <c r="L20" i="1" s="1"/>
  <c r="K13" i="1" a="1"/>
  <c r="K13" i="1" s="1"/>
  <c r="L17" i="1" a="1"/>
  <c r="L17" i="1" s="1"/>
  <c r="L8" i="1" a="1"/>
  <c r="L8" i="1" s="1"/>
  <c r="K17" i="1" a="1"/>
  <c r="K17" i="1" s="1"/>
  <c r="M8" i="1" a="1"/>
  <c r="M8" i="1" s="1"/>
  <c r="M15" i="1" a="1"/>
  <c r="M15" i="1" s="1"/>
  <c r="L21" i="1" a="1"/>
  <c r="L21" i="1" s="1"/>
  <c r="M18" i="1" a="1"/>
  <c r="M18" i="1" s="1"/>
  <c r="K15" i="1" a="1"/>
  <c r="K15" i="1" s="1"/>
  <c r="L11" i="1" a="1"/>
  <c r="L11" i="1" s="1"/>
  <c r="K11" i="1" a="1"/>
  <c r="K11" i="1" s="1"/>
  <c r="L16" i="1" a="1"/>
  <c r="L16" i="1" s="1"/>
  <c r="K14" i="1" a="1"/>
  <c r="K14" i="1" s="1"/>
  <c r="F20" i="1"/>
  <c r="F18" i="1"/>
  <c r="F8" i="1"/>
  <c r="F11" i="1"/>
  <c r="F12" i="1" s="1"/>
  <c r="F13" i="1" s="1"/>
  <c r="F19" i="1"/>
  <c r="F16" i="1"/>
  <c r="F17" i="1" s="1"/>
  <c r="F9" i="1"/>
  <c r="F10" i="1" s="1"/>
  <c r="F14" i="1"/>
  <c r="F15" i="1" s="1"/>
  <c r="F21" i="1"/>
  <c r="I5" i="3"/>
  <c r="K4" i="2"/>
  <c r="H4" i="2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K16" i="1" l="1" a="1"/>
  <c r="K16" i="1" s="1"/>
  <c r="L14" i="1" a="1"/>
  <c r="L14" i="1" s="1"/>
  <c r="M14" i="1" a="1"/>
  <c r="M14" i="1" s="1"/>
  <c r="M16" i="1" a="1"/>
  <c r="M16" i="1" s="1"/>
  <c r="K3" i="2"/>
  <c r="B5" i="3" s="1" a="1"/>
  <c r="B5" i="3" s="1"/>
  <c r="D5" i="3" s="1" a="1"/>
  <c r="D5" i="3" s="1"/>
  <c r="F5" i="3" s="1" a="1"/>
  <c r="F5" i="3" s="1"/>
  <c r="D4" i="2"/>
  <c r="C5" i="3" l="1" a="1"/>
  <c r="C5" i="3" s="1"/>
  <c r="E5" i="3" s="1" a="1"/>
  <c r="E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<sst xmlns="http://schemas.openxmlformats.org/spreadsheetml/2006/main" count="109" uniqueCount="65">
  <si>
    <t>Theme Name</t>
  </si>
  <si>
    <t>#</t>
  </si>
  <si>
    <t>Activity</t>
  </si>
  <si>
    <t>Milestone</t>
  </si>
  <si>
    <t>Element</t>
  </si>
  <si>
    <t>NumElements</t>
  </si>
  <si>
    <t>Fill Colour</t>
  </si>
  <si>
    <t>Line Colour</t>
  </si>
  <si>
    <t>Font Colour</t>
  </si>
  <si>
    <t>Variant #</t>
  </si>
  <si>
    <t>Example Text</t>
  </si>
  <si>
    <t>x</t>
  </si>
  <si>
    <t>Management Command</t>
  </si>
  <si>
    <t>Fill Colour Name</t>
  </si>
  <si>
    <t>Line Colour Name</t>
  </si>
  <si>
    <t>Font colour Name</t>
  </si>
  <si>
    <t>Colour</t>
  </si>
  <si>
    <t>Colour Names</t>
  </si>
  <si>
    <t>Colour Shades</t>
  </si>
  <si>
    <t>Green</t>
  </si>
  <si>
    <t>Blue</t>
  </si>
  <si>
    <t>Amber</t>
  </si>
  <si>
    <t>Red</t>
  </si>
  <si>
    <t>Purple</t>
  </si>
  <si>
    <t>Yellow</t>
  </si>
  <si>
    <t>dark</t>
  </si>
  <si>
    <t>light</t>
  </si>
  <si>
    <t>vlight</t>
  </si>
  <si>
    <t>vdark</t>
  </si>
  <si>
    <t>NumColourNames</t>
  </si>
  <si>
    <t>NumColourShades</t>
  </si>
  <si>
    <t>NumColourVariants</t>
  </si>
  <si>
    <t>Colour Name</t>
  </si>
  <si>
    <t>Colour #</t>
  </si>
  <si>
    <t>Variant Name</t>
  </si>
  <si>
    <t># Variants</t>
  </si>
  <si>
    <t>NumStyleVariants</t>
  </si>
  <si>
    <t>ThemeName</t>
  </si>
  <si>
    <t>Variant Sequence High</t>
  </si>
  <si>
    <t>Element #</t>
  </si>
  <si>
    <t>ColourName</t>
  </si>
  <si>
    <t>Element Variant #</t>
  </si>
  <si>
    <t>Style Name</t>
  </si>
  <si>
    <t>AMBER1</t>
  </si>
  <si>
    <t>GrayScale</t>
  </si>
  <si>
    <t>Command</t>
  </si>
  <si>
    <t>[13]Amber</t>
  </si>
  <si>
    <t>[14]Amber-dark</t>
  </si>
  <si>
    <t>[08]Blue</t>
  </si>
  <si>
    <t>[19]Red-dark</t>
  </si>
  <si>
    <t>[31]GrayScale-vlight</t>
  </si>
  <si>
    <t>[06]Blue-vlight</t>
  </si>
  <si>
    <t>[32]GrayScale-light</t>
  </si>
  <si>
    <t>[07]Blue-light</t>
  </si>
  <si>
    <t>[03]Green</t>
  </si>
  <si>
    <t>[02]Green-light</t>
  </si>
  <si>
    <t>[15]Amber-vdark</t>
  </si>
  <si>
    <t>[09]Blue-dark</t>
  </si>
  <si>
    <t>[33]GrayScale</t>
  </si>
  <si>
    <t>[35]GrayScale-vdark</t>
  </si>
  <si>
    <t>SwimlaneEven</t>
  </si>
  <si>
    <t>SwimlaneOdd</t>
  </si>
  <si>
    <t>TimelineLabelEven</t>
  </si>
  <si>
    <t>TimelineLabelOdd</t>
  </si>
  <si>
    <t>THEME-01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</si>
</sst>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8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E9713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D2D3"/>
        <bgColor indexed="64"/>
      </patternFill>
    </fill>
    <fill>
      <patternFill patternType="solid">
        <fgColor rgb="FFFFB6B8"/>
        <bgColor indexed="64"/>
      </patternFill>
    </fill>
    <fill>
      <patternFill patternType="solid">
        <fgColor rgb="FFFF7A7E"/>
        <bgColor indexed="64"/>
      </patternFill>
    </fill>
    <fill>
      <patternFill patternType="solid">
        <fgColor rgb="FFDF4046"/>
        <bgColor indexed="64"/>
      </patternFill>
    </fill>
    <fill>
      <patternFill patternType="solid">
        <fgColor rgb="FFBD262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E2E200"/>
        <bgColor indexed="64"/>
      </patternFill>
    </fill>
    <fill>
      <patternFill patternType="solid">
        <fgColor rgb="FFA6A6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7E350E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F3F300"/>
        <bgColor indexed="64"/>
      </patternFill>
    </fill>
  </fills>
  <borders count="14">
    <border>
      <left/>
      <right/>
      <top/>
      <bottom/>
      <diagonal/>
    </border>
    <border>
      <left style="medium">
        <color rgb="FF4D93D9"/>
      </left>
      <right style="medium">
        <color rgb="FF4D93D9"/>
      </right>
      <top style="medium">
        <color rgb="FF4D93D9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E97132"/>
      </left>
      <right style="medium">
        <color rgb="FFE97132"/>
      </right>
      <top style="medium">
        <color rgb="FFE97132"/>
      </top>
      <bottom/>
      <diagonal/>
    </border>
    <border>
      <left style="medium">
        <color rgb="FF7E350E"/>
      </left>
      <right style="medium">
        <color rgb="FF7E350E"/>
      </right>
      <top style="medium">
        <color rgb="FF7E350E"/>
      </top>
      <bottom/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/>
      <diagonal/>
    </border>
    <border>
      <left style="medium">
        <color rgb="FFA6C9EC"/>
      </left>
      <right style="medium">
        <color rgb="FFA6C9EC"/>
      </right>
      <top style="medium">
        <color rgb="FFA6C9EC"/>
      </top>
      <bottom/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DF4046"/>
      </left>
      <right style="medium">
        <color rgb="FFDF4046"/>
      </right>
      <top style="medium">
        <color rgb="FFDF4046"/>
      </top>
      <bottom/>
      <diagonal/>
    </border>
    <border>
      <left style="medium">
        <color rgb="FF8ED973"/>
      </left>
      <right style="medium">
        <color rgb="FF8ED973"/>
      </right>
      <top style="medium">
        <color rgb="FF8ED973"/>
      </top>
      <bottom/>
      <diagonal/>
    </border>
    <border>
      <left style="medium">
        <color rgb="FFB5E6A2"/>
      </left>
      <right style="medium">
        <color rgb="FFB5E6A2"/>
      </right>
      <top style="medium">
        <color rgb="FFB5E6A2"/>
      </top>
      <bottom style="medium">
        <color rgb="FFB5E6A2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2" borderId="0" xfId="0" applyFill="1"/>
    <xf numFmtId="0" fontId="0" fillId="0" borderId="0" xfId="0" applyAlignment="1">
      <alignment horizontal="right"/>
    </xf>
    <xf numFmtId="0" fontId="1" fillId="0" borderId="0" xfId="0" applyFont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3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3" fillId="34" borderId="2" xfId="0" applyFont="1" applyFill="1" applyBorder="1"/>
    <xf numFmtId="0" fontId="3" fillId="34" borderId="3" xfId="0" applyFont="1" applyFill="1" applyBorder="1"/>
    <xf numFmtId="0" fontId="3" fillId="34" borderId="4" xfId="0" applyFont="1" applyFill="1" applyBorder="1"/>
    <xf numFmtId="0" fontId="0" fillId="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9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4" fillId="44" borderId="10" xfId="0" applyFont="1" applyFill="1" applyBorder="1"/>
    <xf numFmtId="0" fontId="4" fillId="44" borderId="1" xfId="0" applyFont="1" applyFill="1" applyBorder="1"/>
    <xf numFmtId="0" fontId="0" fillId="46" borderId="0" xfId="0" applyFill="1"/>
    <xf numFmtId="0" fontId="0" fillId="47" borderId="0" xfId="0" applyFill="1"/>
    <xf numFmtId="0" fontId="4" fillId="46" borderId="12" xfId="0" applyFont="1" applyFill="1" applyBorder="1"/>
    <xf numFmtId="0" fontId="4" fillId="47" borderId="13" xfId="0" applyFont="1" applyFill="1" applyBorder="1"/>
    <xf numFmtId="0" fontId="0" fillId="48" borderId="0" xfId="0" applyFill="1"/>
    <xf numFmtId="0" fontId="4" fillId="36" borderId="5" xfId="0" applyFont="1" applyFill="1" applyBorder="1"/>
    <xf numFmtId="0" fontId="4" fillId="4" borderId="6" xfId="0" applyFont="1" applyFill="1" applyBorder="1"/>
    <xf numFmtId="0" fontId="4" fillId="24" borderId="11" xfId="0" applyFont="1" applyFill="1" applyBorder="1"/>
    <xf numFmtId="0" fontId="4" fillId="4" borderId="5" xfId="0" applyFont="1" applyFill="1" applyBorder="1"/>
    <xf numFmtId="0" fontId="4" fillId="40" borderId="7" xfId="0" applyFont="1" applyFill="1" applyBorder="1"/>
    <xf numFmtId="0" fontId="4" fillId="41" borderId="8" xfId="0" applyFont="1" applyFill="1" applyBorder="1"/>
    <xf numFmtId="0" fontId="4" fillId="9" borderId="9" xfId="0" applyFont="1" applyFill="1" applyBorder="1"/>
    <xf numFmtId="0" fontId="4" fillId="42" borderId="1" xfId="0" applyFont="1" applyFill="1" applyBorder="1"/>
    <xf numFmtId="0" fontId="4" fillId="42" borderId="8" xfId="0" applyFont="1" applyFill="1" applyBorder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3F300"/>
      <color rgb="FFF9F95F"/>
      <color rgb="FFA6A600"/>
      <color rgb="FFE2E200"/>
      <color rgb="FFF2F277"/>
      <color rgb="FFFFFFB3"/>
      <color rgb="FFBD262B"/>
      <color rgb="FFDF4046"/>
      <color rgb="FFFF7A7E"/>
      <color rgb="FFFFB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203200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Format Example Text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A1448-3EC7-7643-A257-CEAA0CF6E3BB}" name="Table1" displayName="Table1" ref="C6:F12" totalsRowShown="0">
  <autoFilter ref="C6:F12" xr:uid="{13FA1448-3EC7-7643-A257-CEAA0CF6E3BB}"/>
  <tableColumns count="4">
    <tableColumn id="1" xr3:uid="{894730EE-4AD8-DB46-870C-FEC32738A6D3}" name="#"/>
    <tableColumn id="2" xr3:uid="{451EE29F-7CDE-DF47-B7E2-1666AF602D23}" name="Element"/>
    <tableColumn id="3" xr3:uid="{BE136692-E866-D34F-98B9-373900FE3E31}" name="# Variants"/>
    <tableColumn id="4" xr3:uid="{91254148-F845-4B40-A711-9282FA4AEC20}" name="Variant Sequence High" dataDxfId="0">
      <calculatedColumnFormula>IF(Table1[[#This Row],['#]]=1,0,F6+E6)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D9B506-D72F-2145-B14B-E3AB06934709}" name="Table4" displayName="Table4" ref="H6:H13" totalsRowShown="0">
  <autoFilter ref="H6:H13" xr:uid="{91D9B506-D72F-2145-B14B-E3AB06934709}"/>
  <tableColumns count="1">
    <tableColumn id="1" xr3:uid="{BDA88EC0-A467-CA4A-8B75-9298619E3027}" name="Colour Nam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02C6DE-DD65-0345-B3C1-DEEC7B7AE463}" name="Table5" displayName="Table5" ref="K6:K11" totalsRowShown="0">
  <autoFilter ref="K6:K11" xr:uid="{D802C6DE-DD65-0345-B3C1-DEEC7B7AE463}"/>
  <tableColumns count="1">
    <tableColumn id="1" xr3:uid="{2220E1FC-B075-4041-B2FE-4B0012D4F53A}" name="Colour Shad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CDAC6-1AC5-C049-AAF7-A1A2FFE5301C}">
  <sheetPr codeName="Sheet1"/>
  <dimension ref="B5:P21"/>
  <sheetViews>
    <sheetView tabSelected="1" topLeftCell="K1" zoomScale="150" workbookViewId="0">
      <selection activeCell="P8" sqref="P8:P21"/>
    </sheetView>
  </sheetViews>
  <sheetFormatPr baseColWidth="10" defaultRowHeight="16" x14ac:dyDescent="0.2"/>
  <cols>
    <col min="3" max="3" width="13.1640625" customWidth="1"/>
    <col min="4" max="5" width="20.1640625" customWidth="1"/>
    <col min="6" max="6" width="15.6640625" bestFit="1" customWidth="1"/>
    <col min="7" max="7" width="26.33203125" bestFit="1" customWidth="1"/>
    <col min="8" max="10" width="20.1640625" customWidth="1"/>
    <col min="11" max="13" width="12.1640625" customWidth="1"/>
    <col min="14" max="14" width="35.33203125" customWidth="1"/>
    <col min="15" max="15" width="3.5" customWidth="1"/>
    <col min="16" max="16" width="99.33203125" bestFit="1" customWidth="1"/>
  </cols>
  <sheetData>
    <row r="5" spans="2:16" x14ac:dyDescent="0.2">
      <c r="C5" s="2" t="s">
        <v>37</v>
      </c>
      <c r="D5" t="s">
        <v>43</v>
      </c>
    </row>
    <row r="7" spans="2:16" ht="17" thickBot="1" x14ac:dyDescent="0.25">
      <c r="B7" s="35" t="s">
        <v>1</v>
      </c>
      <c r="C7" s="36" t="s">
        <v>0</v>
      </c>
      <c r="D7" s="36" t="s">
        <v>9</v>
      </c>
      <c r="E7" s="36" t="s">
        <v>39</v>
      </c>
      <c r="F7" s="36" t="s">
        <v>41</v>
      </c>
      <c r="G7" s="36" t="s">
        <v>42</v>
      </c>
      <c r="H7" s="36" t="s">
        <v>13</v>
      </c>
      <c r="I7" s="36" t="s">
        <v>14</v>
      </c>
      <c r="J7" s="36" t="s">
        <v>15</v>
      </c>
      <c r="K7" s="36" t="s">
        <v>6</v>
      </c>
      <c r="L7" s="36" t="s">
        <v>7</v>
      </c>
      <c r="M7" s="36" t="s">
        <v>8</v>
      </c>
      <c r="N7" s="36" t="s">
        <v>10</v>
      </c>
      <c r="O7" s="36" t="s">
        <v>11</v>
      </c>
      <c r="P7" s="37" t="s">
        <v>12</v>
      </c>
    </row>
    <row r="8" spans="2:16" ht="17" thickBot="1" x14ac:dyDescent="0.25">
      <c r="B8" cm="1">
        <f t="array" ref="B8:B21">_xlfn.SEQUENCE(NumStyleVariants)</f>
        <v>1</v>
      </c>
      <c r="C8" t="s">
        <v>64</v>
      </c>
      <c r="D8" cm="1">
        <f t="array" ref="D8:D21">MATCH(_xlfn.ANCHORARRAY(B8)-1,Table1[Variant Sequence High],1)</f>
        <v>1</v>
      </c>
      <c r="E8" t="str" cm="1">
        <f t="array" ref="E8:E21">INDEX(Table1[Element],_xlfn.ANCHORARRAY(ThemeStyles!D8))</f>
        <v>Activity</v>
      </c>
      <c r="F8">
        <f>IF(D8&lt;&gt;D7,1,F7+1)</f>
        <v>1</v>
      </c>
      <c r="G8" t="str">
        <f>C8&amp;"-"&amp;E8&amp;"-"&amp;F8</f>
        <v>THEME-01-Activity-1</v>
      </c>
      <c r="H8" t="s">
        <v>46</v>
      </c>
      <c r="I8" t="s">
        <v>47</v>
      </c>
      <c r="J8" t="s">
        <v>59</v>
      </c>
      <c r="K8" s="40" t="str" cm="1">
        <f t="array" ref="K8">_xlfn.XLOOKUP(H8,_xlfn.ANCHORARRAY(Colours!$G$5),Colours!$I$5:$I$39,"unfilled",0)</f>
        <v>#F1A983</v>
      </c>
      <c r="L8" s="38" t="str" cm="1">
        <f t="array" ref="L8">_xlfn.XLOOKUP(I8,_xlfn.ANCHORARRAY(Colours!$G$5),Colours!$I$5:$I$39,"unfilled",0)</f>
        <v>#E97132</v>
      </c>
      <c r="M8" s="50" t="str" cm="1">
        <f t="array" ref="M8">_xlfn.XLOOKUP(J8,_xlfn.ANCHORARRAY(Colours!$G$5),Colours!$I$5:$I$39,"unfilled",0)</f>
        <v>#000000</v>
      </c>
      <c r="N8" s="58" t="str">
        <f t="shared" ref="N8:N21" si="0">"This is example text"</f>
        <v>This is example text</v>
      </c>
      <c r="P8" t="str">
        <f>"python manage.py add_style '"&amp;G8&amp;"' '"&amp;H8&amp;"' '"&amp;I8&amp;"' '"&amp;J8&amp;"'"</f>
        <v>python manage.py add_style 'THEME-01-Activity-1' '[13]Amber' '[14]Amber-dark' '[35]GrayScale-vdark'</v>
      </c>
    </row>
    <row r="9" spans="2:16" ht="17" thickBot="1" x14ac:dyDescent="0.25">
      <c r="B9">
        <v>2</v>
      </c>
      <c r="C9" t="s">
        <v>64</v>
      </c>
      <c r="D9">
        <v>1</v>
      </c>
      <c r="E9" t="str">
        <v>Activity</v>
      </c>
      <c r="F9">
        <f>IF(D9&lt;&gt;D8,1,F8+1)</f>
        <v>2</v>
      </c>
      <c r="G9" t="str">
        <f t="shared" ref="G9:G21" si="1">C9&amp;"-"&amp;E9&amp;"-"&amp;F9</f>
        <v>THEME-01-Activity-2</v>
      </c>
      <c r="H9" t="s">
        <v>47</v>
      </c>
      <c r="I9" t="s">
        <v>56</v>
      </c>
      <c r="J9" t="s">
        <v>59</v>
      </c>
      <c r="K9" s="38" t="str" cm="1">
        <f t="array" ref="K9">_xlfn.XLOOKUP(H9,_xlfn.ANCHORARRAY(Colours!$G$5),Colours!$I$5:$I$39,"unfilled",0)</f>
        <v>#E97132</v>
      </c>
      <c r="L9" s="39" t="str" cm="1">
        <f t="array" ref="L9">_xlfn.XLOOKUP(I9,_xlfn.ANCHORARRAY(Colours!$G$5),Colours!$I$5:$I$39,"unfilled",0)</f>
        <v>#7E350E</v>
      </c>
      <c r="M9" s="50" t="str" cm="1">
        <f t="array" ref="M9">_xlfn.XLOOKUP(J9,_xlfn.ANCHORARRAY(Colours!$G$5),Colours!$I$5:$I$39,"unfilled",0)</f>
        <v>#000000</v>
      </c>
      <c r="N9" s="59" t="str">
        <f t="shared" si="0"/>
        <v>This is example text</v>
      </c>
      <c r="P9" t="str">
        <f t="shared" ref="P9:P21" si="2">"python manage.py add_style '"&amp;G9&amp;"' '"&amp;H9&amp;"' '"&amp;I9&amp;"' '"&amp;J9&amp;"'"</f>
        <v>python manage.py add_style 'THEME-01-Activity-2' '[14]Amber-dark' '[15]Amber-vdark' '[35]GrayScale-vdark'</v>
      </c>
    </row>
    <row r="10" spans="2:16" ht="17" thickBot="1" x14ac:dyDescent="0.25">
      <c r="B10">
        <v>3</v>
      </c>
      <c r="C10" t="s">
        <v>64</v>
      </c>
      <c r="D10">
        <v>1</v>
      </c>
      <c r="E10" t="str">
        <v>Activity</v>
      </c>
      <c r="F10">
        <f t="shared" ref="F10:F21" si="3">IF(D10&lt;&gt;D9,1,F9+1)</f>
        <v>3</v>
      </c>
      <c r="G10" t="str">
        <f t="shared" si="1"/>
        <v>THEME-01-Activity-3</v>
      </c>
      <c r="H10" t="s">
        <v>48</v>
      </c>
      <c r="I10" t="s">
        <v>57</v>
      </c>
      <c r="J10" t="s">
        <v>59</v>
      </c>
      <c r="K10" s="49" t="str" cm="1">
        <f t="array" ref="K10">_xlfn.XLOOKUP(H10,_xlfn.ANCHORARRAY(Colours!$G$5),Colours!$I$5:$I$39,"unfilled",0)</f>
        <v>#4D93D9</v>
      </c>
      <c r="L10" s="16" t="str" cm="1">
        <f t="array" ref="L10">_xlfn.XLOOKUP(I10,_xlfn.ANCHORARRAY(Colours!$G$5),Colours!$I$5:$I$39,"unfilled",0)</f>
        <v>#0070C0</v>
      </c>
      <c r="M10" s="50" t="str" cm="1">
        <f t="array" ref="M10">_xlfn.XLOOKUP(J10,_xlfn.ANCHORARRAY(Colours!$G$5),Colours!$I$5:$I$39,"unfilled",0)</f>
        <v>#000000</v>
      </c>
      <c r="N10" s="51" t="str">
        <f t="shared" si="0"/>
        <v>This is example text</v>
      </c>
      <c r="P10" t="str">
        <f t="shared" si="2"/>
        <v>python manage.py add_style 'THEME-01-Activity-3' '[08]Blue' '[09]Blue-dark' '[35]GrayScale-vdark'</v>
      </c>
    </row>
    <row r="11" spans="2:16" ht="17" thickBot="1" x14ac:dyDescent="0.25">
      <c r="B11">
        <v>4</v>
      </c>
      <c r="C11" t="s">
        <v>64</v>
      </c>
      <c r="D11">
        <v>2</v>
      </c>
      <c r="E11" t="str">
        <v>Milestone</v>
      </c>
      <c r="F11">
        <f t="shared" si="3"/>
        <v>1</v>
      </c>
      <c r="G11" t="str">
        <f t="shared" si="1"/>
        <v>THEME-01-Milestone-1</v>
      </c>
      <c r="H11" t="s">
        <v>48</v>
      </c>
      <c r="I11" t="s">
        <v>48</v>
      </c>
      <c r="J11" t="s">
        <v>59</v>
      </c>
      <c r="K11" s="49" t="str" cm="1">
        <f t="array" ref="K11">_xlfn.XLOOKUP(H11,_xlfn.ANCHORARRAY(Colours!$G$5),Colours!$I$5:$I$39,"unfilled",0)</f>
        <v>#4D93D9</v>
      </c>
      <c r="L11" s="49" t="str" cm="1">
        <f t="array" ref="L11">_xlfn.XLOOKUP(I11,_xlfn.ANCHORARRAY(Colours!$G$5),Colours!$I$5:$I$39,"unfilled",0)</f>
        <v>#4D93D9</v>
      </c>
      <c r="M11" s="50" t="str" cm="1">
        <f t="array" ref="M11">_xlfn.XLOOKUP(J11,_xlfn.ANCHORARRAY(Colours!$G$5),Colours!$I$5:$I$39,"unfilled",0)</f>
        <v>#000000</v>
      </c>
      <c r="N11" s="52" t="str">
        <f t="shared" si="0"/>
        <v>This is example text</v>
      </c>
      <c r="P11" t="str">
        <f t="shared" si="2"/>
        <v>python manage.py add_style 'THEME-01-Milestone-1' '[08]Blue' '[08]Blue' '[35]GrayScale-vdark'</v>
      </c>
    </row>
    <row r="12" spans="2:16" ht="17" thickBot="1" x14ac:dyDescent="0.25">
      <c r="B12">
        <v>5</v>
      </c>
      <c r="C12" t="s">
        <v>64</v>
      </c>
      <c r="D12">
        <v>2</v>
      </c>
      <c r="E12" t="str">
        <v>Milestone</v>
      </c>
      <c r="F12">
        <f t="shared" si="3"/>
        <v>2</v>
      </c>
      <c r="G12" t="str">
        <f t="shared" si="1"/>
        <v>THEME-01-Milestone-2</v>
      </c>
      <c r="H12" t="s">
        <v>49</v>
      </c>
      <c r="I12" t="s">
        <v>49</v>
      </c>
      <c r="J12" t="s">
        <v>59</v>
      </c>
      <c r="K12" s="25" t="str" cm="1">
        <f t="array" ref="K12">_xlfn.XLOOKUP(H12,_xlfn.ANCHORARRAY(Colours!$G$5),Colours!$I$5:$I$39,"unfilled",0)</f>
        <v>#DF4046</v>
      </c>
      <c r="L12" s="25" t="str" cm="1">
        <f t="array" ref="L12">_xlfn.XLOOKUP(I12,_xlfn.ANCHORARRAY(Colours!$G$5),Colours!$I$5:$I$39,"unfilled",0)</f>
        <v>#DF4046</v>
      </c>
      <c r="M12" s="50" t="str" cm="1">
        <f t="array" ref="M12">_xlfn.XLOOKUP(J12,_xlfn.ANCHORARRAY(Colours!$G$5),Colours!$I$5:$I$39,"unfilled",0)</f>
        <v>#000000</v>
      </c>
      <c r="N12" s="60" t="str">
        <f t="shared" si="0"/>
        <v>This is example text</v>
      </c>
      <c r="P12" t="str">
        <f t="shared" si="2"/>
        <v>python manage.py add_style 'THEME-01-Milestone-2' '[19]Red-dark' '[19]Red-dark' '[35]GrayScale-vdark'</v>
      </c>
    </row>
    <row r="13" spans="2:16" ht="17" thickBot="1" x14ac:dyDescent="0.25">
      <c r="B13">
        <v>6</v>
      </c>
      <c r="C13" t="s">
        <v>64</v>
      </c>
      <c r="D13">
        <v>2</v>
      </c>
      <c r="E13" t="str">
        <v>Milestone</v>
      </c>
      <c r="F13">
        <f t="shared" si="3"/>
        <v>3</v>
      </c>
      <c r="G13" t="str">
        <f t="shared" si="1"/>
        <v>THEME-01-Milestone-3</v>
      </c>
      <c r="H13" t="s">
        <v>47</v>
      </c>
      <c r="I13" t="s">
        <v>47</v>
      </c>
      <c r="J13" t="s">
        <v>59</v>
      </c>
      <c r="K13" s="38" t="str" cm="1">
        <f t="array" ref="K13">_xlfn.XLOOKUP(H13,_xlfn.ANCHORARRAY(Colours!$G$5),Colours!$I$5:$I$39,"unfilled",0)</f>
        <v>#E97132</v>
      </c>
      <c r="L13" s="38" t="str" cm="1">
        <f t="array" ref="L13">_xlfn.XLOOKUP(I13,_xlfn.ANCHORARRAY(Colours!$G$5),Colours!$I$5:$I$39,"unfilled",0)</f>
        <v>#E97132</v>
      </c>
      <c r="M13" s="50" t="str" cm="1">
        <f t="array" ref="M13">_xlfn.XLOOKUP(J13,_xlfn.ANCHORARRAY(Colours!$G$5),Colours!$I$5:$I$39,"unfilled",0)</f>
        <v>#000000</v>
      </c>
      <c r="N13" s="61" t="str">
        <f t="shared" si="0"/>
        <v>This is example text</v>
      </c>
      <c r="P13" t="str">
        <f t="shared" si="2"/>
        <v>python manage.py add_style 'THEME-01-Milestone-3' '[14]Amber-dark' '[14]Amber-dark' '[35]GrayScale-vdark'</v>
      </c>
    </row>
    <row r="14" spans="2:16" ht="17" thickBot="1" x14ac:dyDescent="0.25">
      <c r="B14">
        <v>7</v>
      </c>
      <c r="C14" t="s">
        <v>64</v>
      </c>
      <c r="D14">
        <v>3</v>
      </c>
      <c r="E14" t="str">
        <v>SwimlaneEven</v>
      </c>
      <c r="F14">
        <f t="shared" si="3"/>
        <v>1</v>
      </c>
      <c r="G14" t="str">
        <f t="shared" si="1"/>
        <v>THEME-01-SwimlaneEven-1</v>
      </c>
      <c r="H14" t="s">
        <v>50</v>
      </c>
      <c r="I14" t="s">
        <v>52</v>
      </c>
      <c r="J14" t="s">
        <v>59</v>
      </c>
      <c r="K14" s="44" t="str" cm="1">
        <f t="array" ref="K14">_xlfn.XLOOKUP(H14,_xlfn.ANCHORARRAY(Colours!$G$5),Colours!$I$5:$I$39,"unfilled",0)</f>
        <v>#FFFFFF</v>
      </c>
      <c r="L14" s="45" t="str" cm="1">
        <f t="array" ref="L14">_xlfn.XLOOKUP(I14,_xlfn.ANCHORARRAY(Colours!$G$5),Colours!$I$5:$I$39,"unfilled",0)</f>
        <v>#F2F2F2</v>
      </c>
      <c r="M14" s="50" t="str" cm="1">
        <f t="array" ref="M14">_xlfn.XLOOKUP(J14,_xlfn.ANCHORARRAY(Colours!$G$5),Colours!$I$5:$I$39,"unfilled",0)</f>
        <v>#000000</v>
      </c>
      <c r="N14" s="62" t="str">
        <f t="shared" si="0"/>
        <v>This is example text</v>
      </c>
      <c r="P14" t="str">
        <f t="shared" si="2"/>
        <v>python manage.py add_style 'THEME-01-SwimlaneEven-1' '[31]GrayScale-vlight' '[32]GrayScale-light' '[35]GrayScale-vdark'</v>
      </c>
    </row>
    <row r="15" spans="2:16" ht="17" thickBot="1" x14ac:dyDescent="0.25">
      <c r="B15">
        <v>8</v>
      </c>
      <c r="C15" t="s">
        <v>64</v>
      </c>
      <c r="D15">
        <v>3</v>
      </c>
      <c r="E15" t="str">
        <v>SwimlaneEven</v>
      </c>
      <c r="F15">
        <f t="shared" si="3"/>
        <v>2</v>
      </c>
      <c r="G15" t="str">
        <f t="shared" si="1"/>
        <v>THEME-01-SwimlaneEven-2</v>
      </c>
      <c r="H15" t="s">
        <v>51</v>
      </c>
      <c r="I15" t="s">
        <v>53</v>
      </c>
      <c r="J15" t="s">
        <v>59</v>
      </c>
      <c r="K15" s="46" t="str" cm="1">
        <f t="array" ref="K15">_xlfn.XLOOKUP(H15,_xlfn.ANCHORARRAY(Colours!$G$5),Colours!$I$5:$I$39,"unfilled",0)</f>
        <v>#DAE9F8</v>
      </c>
      <c r="L15" s="47" t="str" cm="1">
        <f t="array" ref="L15">_xlfn.XLOOKUP(I15,_xlfn.ANCHORARRAY(Colours!$G$5),Colours!$I$5:$I$39,"unfilled",0)</f>
        <v>#A6C9EC</v>
      </c>
      <c r="M15" s="50" t="str" cm="1">
        <f t="array" ref="M15">_xlfn.XLOOKUP(J15,_xlfn.ANCHORARRAY(Colours!$G$5),Colours!$I$5:$I$39,"unfilled",0)</f>
        <v>#000000</v>
      </c>
      <c r="N15" s="63" t="str">
        <f t="shared" si="0"/>
        <v>This is example text</v>
      </c>
      <c r="P15" t="str">
        <f t="shared" si="2"/>
        <v>python manage.py add_style 'THEME-01-SwimlaneEven-2' '[06]Blue-vlight' '[07]Blue-light' '[35]GrayScale-vdark'</v>
      </c>
    </row>
    <row r="16" spans="2:16" ht="17" thickBot="1" x14ac:dyDescent="0.25">
      <c r="B16">
        <v>9</v>
      </c>
      <c r="C16" t="s">
        <v>64</v>
      </c>
      <c r="D16">
        <v>4</v>
      </c>
      <c r="E16" t="str">
        <v>SwimlaneOdd</v>
      </c>
      <c r="F16">
        <f t="shared" si="3"/>
        <v>1</v>
      </c>
      <c r="G16" t="str">
        <f t="shared" si="1"/>
        <v>THEME-01-SwimlaneOdd-1</v>
      </c>
      <c r="H16" t="s">
        <v>52</v>
      </c>
      <c r="I16" t="s">
        <v>58</v>
      </c>
      <c r="J16" t="s">
        <v>59</v>
      </c>
      <c r="K16" s="45" t="str" cm="1">
        <f t="array" ref="K16">_xlfn.XLOOKUP(H16,_xlfn.ANCHORARRAY(Colours!$G$5),Colours!$I$5:$I$39,"unfilled",0)</f>
        <v>#F2F2F2</v>
      </c>
      <c r="L16" s="48" t="str" cm="1">
        <f t="array" ref="L16">_xlfn.XLOOKUP(I16,_xlfn.ANCHORARRAY(Colours!$G$5),Colours!$I$5:$I$39,"unfilled",0)</f>
        <v>#BFBFBF</v>
      </c>
      <c r="M16" s="50" t="str" cm="1">
        <f t="array" ref="M16">_xlfn.XLOOKUP(J16,_xlfn.ANCHORARRAY(Colours!$G$5),Colours!$I$5:$I$39,"unfilled",0)</f>
        <v>#000000</v>
      </c>
      <c r="N16" s="64" t="str">
        <f t="shared" si="0"/>
        <v>This is example text</v>
      </c>
      <c r="P16" t="str">
        <f t="shared" si="2"/>
        <v>python manage.py add_style 'THEME-01-SwimlaneOdd-1' '[32]GrayScale-light' '[33]GrayScale' '[35]GrayScale-vdark'</v>
      </c>
    </row>
    <row r="17" spans="2:16" ht="17" thickBot="1" x14ac:dyDescent="0.25">
      <c r="B17">
        <v>10</v>
      </c>
      <c r="C17" t="s">
        <v>64</v>
      </c>
      <c r="D17">
        <v>4</v>
      </c>
      <c r="E17" t="str">
        <v>SwimlaneOdd</v>
      </c>
      <c r="F17">
        <f t="shared" si="3"/>
        <v>2</v>
      </c>
      <c r="G17" t="str">
        <f t="shared" si="1"/>
        <v>THEME-01-SwimlaneOdd-2</v>
      </c>
      <c r="H17" t="s">
        <v>53</v>
      </c>
      <c r="I17" t="s">
        <v>48</v>
      </c>
      <c r="J17" t="s">
        <v>59</v>
      </c>
      <c r="K17" s="47" t="str" cm="1">
        <f t="array" ref="K17">_xlfn.XLOOKUP(H17,_xlfn.ANCHORARRAY(Colours!$G$5),Colours!$I$5:$I$39,"unfilled",0)</f>
        <v>#A6C9EC</v>
      </c>
      <c r="L17" s="49" t="str" cm="1">
        <f t="array" ref="L17">_xlfn.XLOOKUP(I17,_xlfn.ANCHORARRAY(Colours!$G$5),Colours!$I$5:$I$39,"unfilled",0)</f>
        <v>#4D93D9</v>
      </c>
      <c r="M17" s="50" t="str" cm="1">
        <f t="array" ref="M17">_xlfn.XLOOKUP(J17,_xlfn.ANCHORARRAY(Colours!$G$5),Colours!$I$5:$I$39,"unfilled",0)</f>
        <v>#000000</v>
      </c>
      <c r="N17" s="65" t="str">
        <f t="shared" si="0"/>
        <v>This is example text</v>
      </c>
      <c r="P17" t="str">
        <f t="shared" si="2"/>
        <v>python manage.py add_style 'THEME-01-SwimlaneOdd-2' '[07]Blue-light' '[08]Blue' '[35]GrayScale-vdark'</v>
      </c>
    </row>
    <row r="18" spans="2:16" ht="17" thickBot="1" x14ac:dyDescent="0.25">
      <c r="B18">
        <v>11</v>
      </c>
      <c r="C18" t="s">
        <v>64</v>
      </c>
      <c r="D18">
        <v>5</v>
      </c>
      <c r="E18" t="str">
        <v>TimelineLabelEven</v>
      </c>
      <c r="F18">
        <f t="shared" si="3"/>
        <v>1</v>
      </c>
      <c r="G18" t="str">
        <f t="shared" si="1"/>
        <v>THEME-01-TimelineLabelEven-1</v>
      </c>
      <c r="H18" t="s">
        <v>48</v>
      </c>
      <c r="I18" t="s">
        <v>48</v>
      </c>
      <c r="J18" t="s">
        <v>59</v>
      </c>
      <c r="K18" s="49" t="str" cm="1">
        <f t="array" ref="K18">_xlfn.XLOOKUP(H18,_xlfn.ANCHORARRAY(Colours!$G$5),Colours!$I$5:$I$39,"unfilled",0)</f>
        <v>#4D93D9</v>
      </c>
      <c r="L18" s="49" t="str" cm="1">
        <f t="array" ref="L18">_xlfn.XLOOKUP(I18,_xlfn.ANCHORARRAY(Colours!$G$5),Colours!$I$5:$I$39,"unfilled",0)</f>
        <v>#4D93D9</v>
      </c>
      <c r="M18" s="50" t="str" cm="1">
        <f t="array" ref="M18">_xlfn.XLOOKUP(J18,_xlfn.ANCHORARRAY(Colours!$G$5),Colours!$I$5:$I$39,"unfilled",0)</f>
        <v>#000000</v>
      </c>
      <c r="N18" s="52" t="str">
        <f t="shared" si="0"/>
        <v>This is example text</v>
      </c>
      <c r="P18" t="str">
        <f t="shared" si="2"/>
        <v>python manage.py add_style 'THEME-01-TimelineLabelEven-1' '[08]Blue' '[08]Blue' '[35]GrayScale-vdark'</v>
      </c>
    </row>
    <row r="19" spans="2:16" ht="17" thickBot="1" x14ac:dyDescent="0.25">
      <c r="B19">
        <v>12</v>
      </c>
      <c r="C19" t="s">
        <v>64</v>
      </c>
      <c r="D19">
        <v>5</v>
      </c>
      <c r="E19" t="str">
        <v>TimelineLabelEven</v>
      </c>
      <c r="F19">
        <f t="shared" si="3"/>
        <v>2</v>
      </c>
      <c r="G19" t="str">
        <f t="shared" si="1"/>
        <v>THEME-01-TimelineLabelEven-2</v>
      </c>
      <c r="H19" t="s">
        <v>54</v>
      </c>
      <c r="I19" t="s">
        <v>54</v>
      </c>
      <c r="J19" t="s">
        <v>59</v>
      </c>
      <c r="K19" s="53" t="str" cm="1">
        <f t="array" ref="K19">_xlfn.XLOOKUP(H19,_xlfn.ANCHORARRAY(Colours!$G$5),Colours!$I$5:$I$39,"unfilled",0)</f>
        <v>#8ED973</v>
      </c>
      <c r="L19" s="53" t="str" cm="1">
        <f t="array" ref="L19">_xlfn.XLOOKUP(I19,_xlfn.ANCHORARRAY(Colours!$G$5),Colours!$I$5:$I$39,"unfilled",0)</f>
        <v>#8ED973</v>
      </c>
      <c r="M19" s="50" t="str" cm="1">
        <f t="array" ref="M19">_xlfn.XLOOKUP(J19,_xlfn.ANCHORARRAY(Colours!$G$5),Colours!$I$5:$I$39,"unfilled",0)</f>
        <v>#000000</v>
      </c>
      <c r="N19" s="55" t="str">
        <f t="shared" si="0"/>
        <v>This is example text</v>
      </c>
      <c r="P19" t="str">
        <f t="shared" si="2"/>
        <v>python manage.py add_style 'THEME-01-TimelineLabelEven-2' '[03]Green' '[03]Green' '[35]GrayScale-vdark'</v>
      </c>
    </row>
    <row r="20" spans="2:16" ht="17" thickBot="1" x14ac:dyDescent="0.25">
      <c r="B20">
        <v>13</v>
      </c>
      <c r="C20" t="s">
        <v>64</v>
      </c>
      <c r="D20">
        <v>6</v>
      </c>
      <c r="E20" t="str">
        <v>TimelineLabelOdd</v>
      </c>
      <c r="F20">
        <f t="shared" si="3"/>
        <v>1</v>
      </c>
      <c r="G20" t="str">
        <f t="shared" si="1"/>
        <v>THEME-01-TimelineLabelOdd-1</v>
      </c>
      <c r="H20" t="s">
        <v>53</v>
      </c>
      <c r="I20" t="s">
        <v>53</v>
      </c>
      <c r="J20" t="s">
        <v>59</v>
      </c>
      <c r="K20" s="47" t="str" cm="1">
        <f t="array" ref="K20">_xlfn.XLOOKUP(H20,_xlfn.ANCHORARRAY(Colours!$G$5),Colours!$I$5:$I$39,"unfilled",0)</f>
        <v>#A6C9EC</v>
      </c>
      <c r="L20" s="47" t="str" cm="1">
        <f t="array" ref="L20">_xlfn.XLOOKUP(I20,_xlfn.ANCHORARRAY(Colours!$G$5),Colours!$I$5:$I$39,"unfilled",0)</f>
        <v>#A6C9EC</v>
      </c>
      <c r="M20" s="50" t="str" cm="1">
        <f t="array" ref="M20">_xlfn.XLOOKUP(J20,_xlfn.ANCHORARRAY(Colours!$G$5),Colours!$I$5:$I$39,"unfilled",0)</f>
        <v>#000000</v>
      </c>
      <c r="N20" s="66" t="str">
        <f t="shared" si="0"/>
        <v>This is example text</v>
      </c>
      <c r="P20" t="str">
        <f t="shared" si="2"/>
        <v>python manage.py add_style 'THEME-01-TimelineLabelOdd-1' '[07]Blue-light' '[07]Blue-light' '[35]GrayScale-vdark'</v>
      </c>
    </row>
    <row r="21" spans="2:16" ht="17" thickBot="1" x14ac:dyDescent="0.25">
      <c r="B21">
        <v>14</v>
      </c>
      <c r="C21" t="s">
        <v>64</v>
      </c>
      <c r="D21">
        <v>6</v>
      </c>
      <c r="E21" t="str">
        <v>TimelineLabelOdd</v>
      </c>
      <c r="F21">
        <f t="shared" si="3"/>
        <v>2</v>
      </c>
      <c r="G21" t="str">
        <f t="shared" si="1"/>
        <v>THEME-01-TimelineLabelOdd-2</v>
      </c>
      <c r="H21" t="s">
        <v>55</v>
      </c>
      <c r="I21" t="s">
        <v>55</v>
      </c>
      <c r="J21" t="s">
        <v>59</v>
      </c>
      <c r="K21" s="54" t="str" cm="1">
        <f t="array" ref="K21">_xlfn.XLOOKUP(H21,_xlfn.ANCHORARRAY(Colours!$G$5),Colours!$I$5:$I$39,"unfilled",0)</f>
        <v>#B5E6A2</v>
      </c>
      <c r="L21" s="54" t="str" cm="1">
        <f t="array" ref="L21">_xlfn.XLOOKUP(I21,_xlfn.ANCHORARRAY(Colours!$G$5),Colours!$I$5:$I$39,"unfilled",0)</f>
        <v>#B5E6A2</v>
      </c>
      <c r="M21" s="50" t="str" cm="1">
        <f t="array" ref="M21">_xlfn.XLOOKUP(J21,_xlfn.ANCHORARRAY(Colours!$G$5),Colours!$I$5:$I$39,"unfilled",0)</f>
        <v>#000000</v>
      </c>
      <c r="N21" s="56" t="str">
        <f t="shared" si="0"/>
        <v>This is example text</v>
      </c>
      <c r="P21" t="str">
        <f t="shared" si="2"/>
        <v>python manage.py add_style 'THEME-01-TimelineLabelOdd-2' '[02]Green-light' '[02]Green-light' '[35]GrayScale-vdark'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ApplyColorsInTableByNames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929AAE-45D9-814A-A2AF-4CF8A50AA843}">
          <x14:formula1>
            <xm:f>_xlfn.ANCHORARRAY(Colours!$G$5)</xm:f>
          </x14:formula1>
          <xm:sqref>H8:J21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84C9D-8ABD-974F-9CF0-14C129BA6099}">
  <sheetPr codeName="Sheet3"/>
  <dimension ref="B4:J39"/>
  <sheetViews>
    <sheetView zoomScale="125" workbookViewId="0">
      <selection activeCell="J5" sqref="J5:J39"/>
    </sheetView>
  </sheetViews>
  <sheetFormatPr baseColWidth="10" defaultRowHeight="16" x14ac:dyDescent="0.2"/>
  <cols>
    <col min="5" max="5" width="12" bestFit="1" customWidth="1"/>
    <col min="6" max="6" width="12.5" bestFit="1" customWidth="1"/>
    <col min="7" max="7" width="28.1640625" customWidth="1"/>
    <col min="8" max="8" width="39.1640625" customWidth="1"/>
    <col min="10" max="10" width="53.6640625" bestFit="1" customWidth="1"/>
  </cols>
  <sheetData>
    <row r="4" spans="2:10" x14ac:dyDescent="0.2">
      <c r="B4" s="9" t="s">
        <v>1</v>
      </c>
      <c r="C4" s="9" t="s">
        <v>33</v>
      </c>
      <c r="D4" s="9" t="s">
        <v>9</v>
      </c>
      <c r="E4" s="9" t="s">
        <v>32</v>
      </c>
      <c r="F4" s="9" t="s">
        <v>34</v>
      </c>
      <c r="G4" s="9" t="s">
        <v>40</v>
      </c>
      <c r="H4" s="9" t="s">
        <v>16</v>
      </c>
      <c r="I4" s="9"/>
      <c r="J4" s="9" t="s">
        <v>45</v>
      </c>
    </row>
    <row r="5" spans="2:10" x14ac:dyDescent="0.2">
      <c r="B5" cm="1">
        <f t="array" ref="B5:B39">_xlfn.SEQUENCE(NumColourVariants)</f>
        <v>1</v>
      </c>
      <c r="C5" cm="1">
        <f t="array" ref="C5:C39">INT((_xlfn.ANCHORARRAY(B5)-1)/NumColourShades)+1</f>
        <v>1</v>
      </c>
      <c r="D5" cm="1">
        <f t="array" ref="D5:D39">MOD(_xlfn.ANCHORARRAY(B5)-1,NumColourShades)+1</f>
        <v>1</v>
      </c>
      <c r="E5" t="str" cm="1">
        <f t="array" ref="E5:E39">INDEX(Table4[Colour Names],_xlfn.ANCHORARRAY(Colours!C5))</f>
        <v>Green</v>
      </c>
      <c r="F5" t="str" cm="1">
        <f t="array" ref="F5:F39">_xlfn.LET(_xlpm.name,INDEX(Table5[Colour Shades],_xlfn.ANCHORARRAY(Colours!D5)),IF(_xlpm.name="","",_xlpm.name))</f>
        <v>vlight</v>
      </c>
      <c r="G5" t="str" cm="1">
        <f t="array" ref="G5:G39">"["&amp;TEXT(_xlfn.ANCHORARRAY(B5),"00")&amp;"]"&amp;_xlfn.ANCHORARRAY(E5)&amp;IF(_xlfn.ANCHORARRAY(F5)="","","-"&amp;_xlfn.ANCHORARRAY(F5))</f>
        <v>[01]Green-vlight</v>
      </c>
      <c r="H5" s="10"/>
      <c r="I5" t="str" cm="1">
        <f t="array" ref="I5">GetCellColorHex(H5)</f>
        <v>#DAF2D0</v>
      </c>
      <c r="J5" t="str">
        <f>"python manage.py add_color '"&amp;G5&amp;"' --hex "&amp;I5</f>
        <v>python manage.py add_color '[01]Green-vlight' --hex #DAF2D0</v>
      </c>
    </row>
    <row r="6" spans="2:10" x14ac:dyDescent="0.2">
      <c r="B6">
        <v>2</v>
      </c>
      <c r="C6">
        <v>1</v>
      </c>
      <c r="D6">
        <v>2</v>
      </c>
      <c r="E6" t="str">
        <v>Green</v>
      </c>
      <c r="F6" t="str">
        <v>light</v>
      </c>
      <c r="G6" t="str">
        <v>[02]Green-light</v>
      </c>
      <c r="H6" s="13"/>
      <c r="I6" t="str" cm="1">
        <f t="array" ref="I6">GetCellColorHex(H6)</f>
        <v>#B5E6A2</v>
      </c>
      <c r="J6" t="str">
        <f t="shared" ref="J6:J39" si="0">"python manage.py add_color '"&amp;G6&amp;"' --hex "&amp;I6</f>
        <v>python manage.py add_color '[02]Green-light' --hex #B5E6A2</v>
      </c>
    </row>
    <row r="7" spans="2:10" x14ac:dyDescent="0.2">
      <c r="B7">
        <v>3</v>
      </c>
      <c r="C7">
        <v>1</v>
      </c>
      <c r="D7">
        <v>3</v>
      </c>
      <c r="E7" t="str">
        <v>Green</v>
      </c>
      <c r="F7" t="str">
        <v/>
      </c>
      <c r="G7" t="str">
        <v>[03]Green</v>
      </c>
      <c r="H7" s="11"/>
      <c r="I7" t="str" cm="1">
        <f t="array" ref="I7">GetCellColorHex(H7)</f>
        <v>#8ED973</v>
      </c>
      <c r="J7" t="str">
        <f t="shared" si="0"/>
        <v>python manage.py add_color '[03]Green' --hex #8ED973</v>
      </c>
    </row>
    <row r="8" spans="2:10" x14ac:dyDescent="0.2">
      <c r="B8">
        <v>4</v>
      </c>
      <c r="C8">
        <v>1</v>
      </c>
      <c r="D8">
        <v>4</v>
      </c>
      <c r="E8" t="str">
        <v>Green</v>
      </c>
      <c r="F8" t="str">
        <v>dark</v>
      </c>
      <c r="G8" t="str">
        <v>[04]Green-dark</v>
      </c>
      <c r="H8" s="3"/>
      <c r="I8" t="str" cm="1">
        <f t="array" ref="I8">GetCellColorHex(H8)</f>
        <v>#4EA72E</v>
      </c>
      <c r="J8" t="str">
        <f t="shared" si="0"/>
        <v>python manage.py add_color '[04]Green-dark' --hex #4EA72E</v>
      </c>
    </row>
    <row r="9" spans="2:10" x14ac:dyDescent="0.2">
      <c r="B9">
        <v>5</v>
      </c>
      <c r="C9">
        <v>1</v>
      </c>
      <c r="D9">
        <v>5</v>
      </c>
      <c r="E9" t="str">
        <v>Green</v>
      </c>
      <c r="F9" t="str">
        <v>vdark</v>
      </c>
      <c r="G9" t="str">
        <v>[05]Green-vdark</v>
      </c>
      <c r="H9" s="12"/>
      <c r="I9" t="str" cm="1">
        <f t="array" ref="I9">GetCellColorHex(H9)</f>
        <v>#3C7D22</v>
      </c>
      <c r="J9" t="str">
        <f t="shared" si="0"/>
        <v>python manage.py add_color '[05]Green-vdark' --hex #3C7D22</v>
      </c>
    </row>
    <row r="10" spans="2:10" x14ac:dyDescent="0.2">
      <c r="B10">
        <v>6</v>
      </c>
      <c r="C10">
        <v>2</v>
      </c>
      <c r="D10">
        <v>1</v>
      </c>
      <c r="E10" t="str">
        <v>Blue</v>
      </c>
      <c r="F10" t="str">
        <v>vlight</v>
      </c>
      <c r="G10" t="str">
        <v>[06]Blue-vlight</v>
      </c>
      <c r="H10" s="14"/>
      <c r="I10" t="str" cm="1">
        <f t="array" ref="I10">GetCellColorHex(H10)</f>
        <v>#DAE9F8</v>
      </c>
      <c r="J10" t="str">
        <f t="shared" si="0"/>
        <v>python manage.py add_color '[06]Blue-vlight' --hex #DAE9F8</v>
      </c>
    </row>
    <row r="11" spans="2:10" x14ac:dyDescent="0.2">
      <c r="B11">
        <v>7</v>
      </c>
      <c r="C11">
        <v>2</v>
      </c>
      <c r="D11">
        <v>2</v>
      </c>
      <c r="E11" t="str">
        <v>Blue</v>
      </c>
      <c r="F11" t="str">
        <v>light</v>
      </c>
      <c r="G11" t="str">
        <v>[07]Blue-light</v>
      </c>
      <c r="H11" s="15"/>
      <c r="I11" t="str" cm="1">
        <f t="array" ref="I11">GetCellColorHex(H11)</f>
        <v>#A6C9EC</v>
      </c>
      <c r="J11" t="str">
        <f t="shared" si="0"/>
        <v>python manage.py add_color '[07]Blue-light' --hex #A6C9EC</v>
      </c>
    </row>
    <row r="12" spans="2:10" x14ac:dyDescent="0.2">
      <c r="B12">
        <v>8</v>
      </c>
      <c r="C12">
        <v>2</v>
      </c>
      <c r="D12">
        <v>3</v>
      </c>
      <c r="E12" t="str">
        <v>Blue</v>
      </c>
      <c r="F12" t="str">
        <v/>
      </c>
      <c r="G12" t="str">
        <v>[08]Blue</v>
      </c>
      <c r="H12" s="6"/>
      <c r="I12" t="str" cm="1">
        <f t="array" ref="I12">GetCellColorHex(H12)</f>
        <v>#4D93D9</v>
      </c>
      <c r="J12" t="str">
        <f t="shared" si="0"/>
        <v>python manage.py add_color '[08]Blue' --hex #4D93D9</v>
      </c>
    </row>
    <row r="13" spans="2:10" x14ac:dyDescent="0.2">
      <c r="B13">
        <v>9</v>
      </c>
      <c r="C13">
        <v>2</v>
      </c>
      <c r="D13">
        <v>4</v>
      </c>
      <c r="E13" t="str">
        <v>Blue</v>
      </c>
      <c r="F13" t="str">
        <v>dark</v>
      </c>
      <c r="G13" t="str">
        <v>[09]Blue-dark</v>
      </c>
      <c r="H13" s="16"/>
      <c r="I13" t="str" cm="1">
        <f t="array" ref="I13">GetCellColorHex(H13)</f>
        <v>#0070C0</v>
      </c>
      <c r="J13" t="str">
        <f t="shared" si="0"/>
        <v>python manage.py add_color '[09]Blue-dark' --hex #0070C0</v>
      </c>
    </row>
    <row r="14" spans="2:10" x14ac:dyDescent="0.2">
      <c r="B14">
        <v>10</v>
      </c>
      <c r="C14">
        <v>2</v>
      </c>
      <c r="D14">
        <v>5</v>
      </c>
      <c r="E14" t="str">
        <v>Blue</v>
      </c>
      <c r="F14" t="str">
        <v>vdark</v>
      </c>
      <c r="G14" t="str">
        <v>[10]Blue-vdark</v>
      </c>
      <c r="H14" s="17"/>
      <c r="I14" t="str" cm="1">
        <f t="array" ref="I14">GetCellColorHex(H14)</f>
        <v>#153D64</v>
      </c>
      <c r="J14" t="str">
        <f t="shared" si="0"/>
        <v>python manage.py add_color '[10]Blue-vdark' --hex #153D64</v>
      </c>
    </row>
    <row r="15" spans="2:10" x14ac:dyDescent="0.2">
      <c r="B15">
        <v>11</v>
      </c>
      <c r="C15">
        <v>3</v>
      </c>
      <c r="D15">
        <v>1</v>
      </c>
      <c r="E15" t="str">
        <v>Amber</v>
      </c>
      <c r="F15" t="str">
        <v>vlight</v>
      </c>
      <c r="G15" t="str">
        <v>[11]Amber-vlight</v>
      </c>
      <c r="H15" s="18"/>
      <c r="I15" t="str" cm="1">
        <f t="array" ref="I15">GetCellColorHex(H15)</f>
        <v>#FBE2D5</v>
      </c>
      <c r="J15" t="str">
        <f t="shared" si="0"/>
        <v>python manage.py add_color '[11]Amber-vlight' --hex #FBE2D5</v>
      </c>
    </row>
    <row r="16" spans="2:10" x14ac:dyDescent="0.2">
      <c r="B16">
        <v>12</v>
      </c>
      <c r="C16">
        <v>3</v>
      </c>
      <c r="D16">
        <v>2</v>
      </c>
      <c r="E16" t="str">
        <v>Amber</v>
      </c>
      <c r="F16" t="str">
        <v>light</v>
      </c>
      <c r="G16" t="str">
        <v>[12]Amber-light</v>
      </c>
      <c r="H16" s="19"/>
      <c r="I16" t="str" cm="1">
        <f t="array" ref="I16">GetCellColorHex(H16)</f>
        <v>#F7C7AC</v>
      </c>
      <c r="J16" t="str">
        <f t="shared" si="0"/>
        <v>python manage.py add_color '[12]Amber-light' --hex #F7C7AC</v>
      </c>
    </row>
    <row r="17" spans="2:10" x14ac:dyDescent="0.2">
      <c r="B17">
        <v>13</v>
      </c>
      <c r="C17">
        <v>3</v>
      </c>
      <c r="D17">
        <v>3</v>
      </c>
      <c r="E17" t="str">
        <v>Amber</v>
      </c>
      <c r="F17" t="str">
        <v/>
      </c>
      <c r="G17" t="str">
        <v>[13]Amber</v>
      </c>
      <c r="H17" s="20"/>
      <c r="I17" t="str" cm="1">
        <f t="array" ref="I17">GetCellColorHex(H17)</f>
        <v>#F1A983</v>
      </c>
      <c r="J17" t="str">
        <f t="shared" si="0"/>
        <v>python manage.py add_color '[13]Amber' --hex #F1A983</v>
      </c>
    </row>
    <row r="18" spans="2:10" x14ac:dyDescent="0.2">
      <c r="B18">
        <v>14</v>
      </c>
      <c r="C18">
        <v>3</v>
      </c>
      <c r="D18">
        <v>4</v>
      </c>
      <c r="E18" t="str">
        <v>Amber</v>
      </c>
      <c r="F18" t="str">
        <v>dark</v>
      </c>
      <c r="G18" t="str">
        <v>[14]Amber-dark</v>
      </c>
      <c r="H18" s="7"/>
      <c r="I18" t="str" cm="1">
        <f t="array" ref="I18">GetCellColorHex(H18)</f>
        <v>#E97132</v>
      </c>
      <c r="J18" t="str">
        <f t="shared" si="0"/>
        <v>python manage.py add_color '[14]Amber-dark' --hex #E97132</v>
      </c>
    </row>
    <row r="19" spans="2:10" x14ac:dyDescent="0.2">
      <c r="B19">
        <v>15</v>
      </c>
      <c r="C19">
        <v>3</v>
      </c>
      <c r="D19">
        <v>5</v>
      </c>
      <c r="E19" t="str">
        <v>Amber</v>
      </c>
      <c r="F19" t="str">
        <v>vdark</v>
      </c>
      <c r="G19" t="str">
        <v>[15]Amber-vdark</v>
      </c>
      <c r="H19" s="21"/>
      <c r="I19" t="str" cm="1">
        <f t="array" ref="I19">GetCellColorHex(H19)</f>
        <v>#7E350E</v>
      </c>
      <c r="J19" t="str">
        <f t="shared" si="0"/>
        <v>python manage.py add_color '[15]Amber-vdark' --hex #7E350E</v>
      </c>
    </row>
    <row r="20" spans="2:10" x14ac:dyDescent="0.2">
      <c r="B20">
        <v>16</v>
      </c>
      <c r="C20">
        <v>4</v>
      </c>
      <c r="D20">
        <v>1</v>
      </c>
      <c r="E20" t="str">
        <v>Red</v>
      </c>
      <c r="F20" t="str">
        <v>vlight</v>
      </c>
      <c r="G20" t="str">
        <v>[16]Red-vlight</v>
      </c>
      <c r="H20" s="22"/>
      <c r="I20" t="str" cm="1">
        <f t="array" ref="I20">GetCellColorHex(H20)</f>
        <v>#FFD2D3</v>
      </c>
      <c r="J20" t="str">
        <f t="shared" si="0"/>
        <v>python manage.py add_color '[16]Red-vlight' --hex #FFD2D3</v>
      </c>
    </row>
    <row r="21" spans="2:10" x14ac:dyDescent="0.2">
      <c r="B21">
        <v>17</v>
      </c>
      <c r="C21">
        <v>4</v>
      </c>
      <c r="D21">
        <v>2</v>
      </c>
      <c r="E21" t="str">
        <v>Red</v>
      </c>
      <c r="F21" t="str">
        <v>light</v>
      </c>
      <c r="G21" t="str">
        <v>[17]Red-light</v>
      </c>
      <c r="H21" s="23"/>
      <c r="I21" t="str" cm="1">
        <f t="array" ref="I21">GetCellColorHex(H21)</f>
        <v>#FFB6B8</v>
      </c>
      <c r="J21" t="str">
        <f t="shared" si="0"/>
        <v>python manage.py add_color '[17]Red-light' --hex #FFB6B8</v>
      </c>
    </row>
    <row r="22" spans="2:10" x14ac:dyDescent="0.2">
      <c r="B22">
        <v>18</v>
      </c>
      <c r="C22">
        <v>4</v>
      </c>
      <c r="D22">
        <v>3</v>
      </c>
      <c r="E22" t="str">
        <v>Red</v>
      </c>
      <c r="F22" t="str">
        <v/>
      </c>
      <c r="G22" t="str">
        <v>[18]Red</v>
      </c>
      <c r="H22" s="24"/>
      <c r="I22" t="str" cm="1">
        <f t="array" ref="I22">GetCellColorHex(H22)</f>
        <v>#FF7A7E</v>
      </c>
      <c r="J22" t="str">
        <f t="shared" si="0"/>
        <v>python manage.py add_color '[18]Red' --hex #FF7A7E</v>
      </c>
    </row>
    <row r="23" spans="2:10" x14ac:dyDescent="0.2">
      <c r="B23">
        <v>19</v>
      </c>
      <c r="C23">
        <v>4</v>
      </c>
      <c r="D23">
        <v>4</v>
      </c>
      <c r="E23" t="str">
        <v>Red</v>
      </c>
      <c r="F23" t="str">
        <v>dark</v>
      </c>
      <c r="G23" t="str">
        <v>[19]Red-dark</v>
      </c>
      <c r="H23" s="25"/>
      <c r="I23" t="str" cm="1">
        <f t="array" ref="I23">GetCellColorHex(H23)</f>
        <v>#DF4046</v>
      </c>
      <c r="J23" t="str">
        <f t="shared" si="0"/>
        <v>python manage.py add_color '[19]Red-dark' --hex #DF4046</v>
      </c>
    </row>
    <row r="24" spans="2:10" x14ac:dyDescent="0.2">
      <c r="B24">
        <v>20</v>
      </c>
      <c r="C24">
        <v>4</v>
      </c>
      <c r="D24">
        <v>5</v>
      </c>
      <c r="E24" t="str">
        <v>Red</v>
      </c>
      <c r="F24" t="str">
        <v>vdark</v>
      </c>
      <c r="G24" t="str">
        <v>[20]Red-vdark</v>
      </c>
      <c r="H24" s="26"/>
      <c r="I24" t="str" cm="1">
        <f t="array" ref="I24">GetCellColorHex(H24)</f>
        <v>#BD262B</v>
      </c>
      <c r="J24" t="str">
        <f t="shared" si="0"/>
        <v>python manage.py add_color '[20]Red-vdark' --hex #BD262B</v>
      </c>
    </row>
    <row r="25" spans="2:10" x14ac:dyDescent="0.2">
      <c r="B25">
        <v>21</v>
      </c>
      <c r="C25">
        <v>5</v>
      </c>
      <c r="D25">
        <v>1</v>
      </c>
      <c r="E25" t="str">
        <v>Purple</v>
      </c>
      <c r="F25" t="str">
        <v>vlight</v>
      </c>
      <c r="G25" t="str">
        <v>[21]Purple-vlight</v>
      </c>
      <c r="H25" s="27"/>
      <c r="I25" t="str" cm="1">
        <f t="array" ref="I25">GetCellColorHex(H25)</f>
        <v>#F2CEEF</v>
      </c>
      <c r="J25" t="str">
        <f t="shared" si="0"/>
        <v>python manage.py add_color '[21]Purple-vlight' --hex #F2CEEF</v>
      </c>
    </row>
    <row r="26" spans="2:10" x14ac:dyDescent="0.2">
      <c r="B26">
        <v>22</v>
      </c>
      <c r="C26">
        <v>5</v>
      </c>
      <c r="D26">
        <v>2</v>
      </c>
      <c r="E26" t="str">
        <v>Purple</v>
      </c>
      <c r="F26" t="str">
        <v>light</v>
      </c>
      <c r="G26" t="str">
        <v>[22]Purple-light</v>
      </c>
      <c r="H26" s="28"/>
      <c r="I26" t="str" cm="1">
        <f t="array" ref="I26">GetCellColorHex(H26)</f>
        <v>#E49EDD</v>
      </c>
      <c r="J26" t="str">
        <f t="shared" si="0"/>
        <v>python manage.py add_color '[22]Purple-light' --hex #E49EDD</v>
      </c>
    </row>
    <row r="27" spans="2:10" x14ac:dyDescent="0.2">
      <c r="B27">
        <v>23</v>
      </c>
      <c r="C27">
        <v>5</v>
      </c>
      <c r="D27">
        <v>3</v>
      </c>
      <c r="E27" t="str">
        <v>Purple</v>
      </c>
      <c r="F27" t="str">
        <v/>
      </c>
      <c r="G27" t="str">
        <v>[23]Purple</v>
      </c>
      <c r="H27" s="29"/>
      <c r="I27" t="str" cm="1">
        <f t="array" ref="I27">GetCellColorHex(H27)</f>
        <v>#D86DCD</v>
      </c>
      <c r="J27" t="str">
        <f t="shared" si="0"/>
        <v>python manage.py add_color '[23]Purple' --hex #D86DCD</v>
      </c>
    </row>
    <row r="28" spans="2:10" x14ac:dyDescent="0.2">
      <c r="B28">
        <v>24</v>
      </c>
      <c r="C28">
        <v>5</v>
      </c>
      <c r="D28">
        <v>4</v>
      </c>
      <c r="E28" t="str">
        <v>Purple</v>
      </c>
      <c r="F28" t="str">
        <v>dark</v>
      </c>
      <c r="G28" t="str">
        <v>[24]Purple-dark</v>
      </c>
      <c r="H28" s="5"/>
      <c r="I28" t="str" cm="1">
        <f t="array" ref="I28">GetCellColorHex(H28)</f>
        <v>#A02B93</v>
      </c>
      <c r="J28" t="str">
        <f t="shared" si="0"/>
        <v>python manage.py add_color '[24]Purple-dark' --hex #A02B93</v>
      </c>
    </row>
    <row r="29" spans="2:10" x14ac:dyDescent="0.2">
      <c r="B29">
        <v>25</v>
      </c>
      <c r="C29">
        <v>5</v>
      </c>
      <c r="D29">
        <v>5</v>
      </c>
      <c r="E29" t="str">
        <v>Purple</v>
      </c>
      <c r="F29" t="str">
        <v>vdark</v>
      </c>
      <c r="G29" t="str">
        <v>[25]Purple-vdark</v>
      </c>
      <c r="H29" s="30"/>
      <c r="I29" t="str" cm="1">
        <f t="array" ref="I29">GetCellColorHex(H29)</f>
        <v>#51154A</v>
      </c>
      <c r="J29" t="str">
        <f t="shared" si="0"/>
        <v>python manage.py add_color '[25]Purple-vdark' --hex #51154A</v>
      </c>
    </row>
    <row r="30" spans="2:10" x14ac:dyDescent="0.2">
      <c r="B30">
        <v>26</v>
      </c>
      <c r="C30">
        <v>6</v>
      </c>
      <c r="D30">
        <v>1</v>
      </c>
      <c r="E30" t="str">
        <v>Yellow</v>
      </c>
      <c r="F30" t="str">
        <v>vlight</v>
      </c>
      <c r="G30" t="str">
        <v>[26]Yellow-vlight</v>
      </c>
      <c r="H30" s="32"/>
      <c r="I30" t="str" cm="1">
        <f t="array" ref="I30">GetCellColorHex(H30)</f>
        <v>#FFFFB3</v>
      </c>
      <c r="J30" t="str">
        <f t="shared" si="0"/>
        <v>python manage.py add_color '[26]Yellow-vlight' --hex #FFFFB3</v>
      </c>
    </row>
    <row r="31" spans="2:10" x14ac:dyDescent="0.2">
      <c r="B31">
        <v>27</v>
      </c>
      <c r="C31">
        <v>6</v>
      </c>
      <c r="D31">
        <v>2</v>
      </c>
      <c r="E31" t="str">
        <v>Yellow</v>
      </c>
      <c r="F31" t="str">
        <v>light</v>
      </c>
      <c r="G31" t="str">
        <v>[27]Yellow-light</v>
      </c>
      <c r="H31" s="31"/>
      <c r="I31" t="str" cm="1">
        <f t="array" ref="I31">GetCellColorHex(H31)</f>
        <v>#FFFF00</v>
      </c>
      <c r="J31" t="str">
        <f t="shared" si="0"/>
        <v>python manage.py add_color '[27]Yellow-light' --hex #FFFF00</v>
      </c>
    </row>
    <row r="32" spans="2:10" x14ac:dyDescent="0.2">
      <c r="B32">
        <v>28</v>
      </c>
      <c r="C32">
        <v>6</v>
      </c>
      <c r="D32">
        <v>3</v>
      </c>
      <c r="E32" t="str">
        <v>Yellow</v>
      </c>
      <c r="F32" t="str">
        <v/>
      </c>
      <c r="G32" t="str">
        <v>[28]Yellow</v>
      </c>
      <c r="H32" s="57"/>
      <c r="I32" t="str" cm="1">
        <f t="array" ref="I32">GetCellColorHex(H32)</f>
        <v>#F3F300</v>
      </c>
      <c r="J32" t="str">
        <f t="shared" si="0"/>
        <v>python manage.py add_color '[28]Yellow' --hex #F3F300</v>
      </c>
    </row>
    <row r="33" spans="2:10" x14ac:dyDescent="0.2">
      <c r="B33">
        <v>29</v>
      </c>
      <c r="C33">
        <v>6</v>
      </c>
      <c r="D33">
        <v>4</v>
      </c>
      <c r="E33" t="str">
        <v>Yellow</v>
      </c>
      <c r="F33" t="str">
        <v>dark</v>
      </c>
      <c r="G33" t="str">
        <v>[29]Yellow-dark</v>
      </c>
      <c r="H33" s="33"/>
      <c r="I33" t="str" cm="1">
        <f t="array" ref="I33">GetCellColorHex(H33)</f>
        <v>#E2E200</v>
      </c>
      <c r="J33" t="str">
        <f t="shared" si="0"/>
        <v>python manage.py add_color '[29]Yellow-dark' --hex #E2E200</v>
      </c>
    </row>
    <row r="34" spans="2:10" x14ac:dyDescent="0.2">
      <c r="B34">
        <v>30</v>
      </c>
      <c r="C34">
        <v>6</v>
      </c>
      <c r="D34">
        <v>5</v>
      </c>
      <c r="E34" t="str">
        <v>Yellow</v>
      </c>
      <c r="F34" t="str">
        <v>vdark</v>
      </c>
      <c r="G34" t="str">
        <v>[30]Yellow-vdark</v>
      </c>
      <c r="H34" s="34"/>
      <c r="I34" t="str" cm="1">
        <f t="array" ref="I34">GetCellColorHex(H34)</f>
        <v>#A6A600</v>
      </c>
      <c r="J34" t="str">
        <f t="shared" si="0"/>
        <v>python manage.py add_color '[30]Yellow-vdark' --hex #A6A600</v>
      </c>
    </row>
    <row r="35" spans="2:10" x14ac:dyDescent="0.2">
      <c r="B35">
        <v>31</v>
      </c>
      <c r="C35">
        <v>7</v>
      </c>
      <c r="D35">
        <v>1</v>
      </c>
      <c r="E35" t="str">
        <v>GrayScale</v>
      </c>
      <c r="F35" t="str">
        <v>vlight</v>
      </c>
      <c r="G35" t="str">
        <v>[31]GrayScale-vlight</v>
      </c>
      <c r="I35" t="str" cm="1">
        <f t="array" ref="I35">GetCellColorHex(H35)</f>
        <v>#FFFFFF</v>
      </c>
      <c r="J35" t="str">
        <f t="shared" si="0"/>
        <v>python manage.py add_color '[31]GrayScale-vlight' --hex #FFFFFF</v>
      </c>
    </row>
    <row r="36" spans="2:10" x14ac:dyDescent="0.2">
      <c r="B36">
        <v>32</v>
      </c>
      <c r="C36">
        <v>7</v>
      </c>
      <c r="D36">
        <v>2</v>
      </c>
      <c r="E36" t="str">
        <v>GrayScale</v>
      </c>
      <c r="F36" t="str">
        <v>light</v>
      </c>
      <c r="G36" t="str">
        <v>[32]GrayScale-light</v>
      </c>
      <c r="H36" s="4"/>
      <c r="I36" t="str" cm="1">
        <f t="array" ref="I36">GetCellColorHex(H36)</f>
        <v>#F2F2F2</v>
      </c>
      <c r="J36" t="str">
        <f t="shared" si="0"/>
        <v>python manage.py add_color '[32]GrayScale-light' --hex #F2F2F2</v>
      </c>
    </row>
    <row r="37" spans="2:10" x14ac:dyDescent="0.2">
      <c r="B37">
        <v>33</v>
      </c>
      <c r="C37">
        <v>7</v>
      </c>
      <c r="D37">
        <v>3</v>
      </c>
      <c r="E37" t="str">
        <v>GrayScale</v>
      </c>
      <c r="F37" t="str">
        <v/>
      </c>
      <c r="G37" t="str">
        <v>[33]GrayScale</v>
      </c>
      <c r="H37" s="41"/>
      <c r="I37" t="str" cm="1">
        <f t="array" ref="I37">GetCellColorHex(H37)</f>
        <v>#BFBFBF</v>
      </c>
      <c r="J37" t="str">
        <f t="shared" si="0"/>
        <v>python manage.py add_color '[33]GrayScale' --hex #BFBFBF</v>
      </c>
    </row>
    <row r="38" spans="2:10" x14ac:dyDescent="0.2">
      <c r="B38">
        <v>34</v>
      </c>
      <c r="C38">
        <v>7</v>
      </c>
      <c r="D38">
        <v>4</v>
      </c>
      <c r="E38" t="str">
        <v>GrayScale</v>
      </c>
      <c r="F38" t="str">
        <v>dark</v>
      </c>
      <c r="G38" t="str">
        <v>[34]GrayScale-dark</v>
      </c>
      <c r="H38" s="42"/>
      <c r="I38" t="str" cm="1">
        <f t="array" ref="I38">GetCellColorHex(H38)</f>
        <v>#808080</v>
      </c>
      <c r="J38" t="str">
        <f t="shared" si="0"/>
        <v>python manage.py add_color '[34]GrayScale-dark' --hex #808080</v>
      </c>
    </row>
    <row r="39" spans="2:10" x14ac:dyDescent="0.2">
      <c r="B39">
        <v>35</v>
      </c>
      <c r="C39">
        <v>7</v>
      </c>
      <c r="D39">
        <v>5</v>
      </c>
      <c r="E39" t="str">
        <v>GrayScale</v>
      </c>
      <c r="F39" t="str">
        <v>vdark</v>
      </c>
      <c r="G39" t="str">
        <v>[35]GrayScale-vdark</v>
      </c>
      <c r="H39" s="43"/>
      <c r="I39" t="str" cm="1">
        <f t="array" ref="I39">GetCellColorHex(H39)</f>
        <v>#000000</v>
      </c>
      <c r="J39" t="str">
        <f t="shared" si="0"/>
        <v>python manage.py add_color '[35]GrayScale-vdark' --hex #000000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9320-BF18-3543-937B-BADEDD7EECDE}">
  <sheetPr codeName="Sheet2"/>
  <dimension ref="C3:K13"/>
  <sheetViews>
    <sheetView zoomScale="150" workbookViewId="0">
      <selection activeCell="D13" sqref="D13"/>
    </sheetView>
  </sheetViews>
  <sheetFormatPr baseColWidth="10" defaultRowHeight="16" x14ac:dyDescent="0.2"/>
  <cols>
    <col min="4" max="4" width="17" bestFit="1" customWidth="1"/>
    <col min="5" max="5" width="17" customWidth="1"/>
    <col min="6" max="6" width="22.33203125" bestFit="1" customWidth="1"/>
    <col min="8" max="8" width="14" customWidth="1"/>
    <col min="11" max="11" width="14.1640625" customWidth="1"/>
  </cols>
  <sheetData>
    <row r="3" spans="3:11" x14ac:dyDescent="0.2">
      <c r="C3" s="2" t="s">
        <v>36</v>
      </c>
      <c r="D3" s="1">
        <f>SUM(Table1['# Variants])</f>
        <v>14</v>
      </c>
      <c r="J3" s="8" t="s">
        <v>31</v>
      </c>
      <c r="K3" s="1">
        <f>NumColourNames*NumColourShades</f>
        <v>35</v>
      </c>
    </row>
    <row r="4" spans="3:11" x14ac:dyDescent="0.2">
      <c r="C4" s="2" t="s">
        <v>5</v>
      </c>
      <c r="D4" s="1">
        <f>ROWS(Table1[])</f>
        <v>6</v>
      </c>
      <c r="E4" s="1"/>
      <c r="G4" s="8" t="s">
        <v>29</v>
      </c>
      <c r="H4" s="1">
        <f>ROWS(Table4[Colour Names])</f>
        <v>7</v>
      </c>
      <c r="J4" s="8" t="s">
        <v>30</v>
      </c>
      <c r="K4" s="1">
        <f>ROWS(Table5[Colour Shades])</f>
        <v>5</v>
      </c>
    </row>
    <row r="6" spans="3:11" x14ac:dyDescent="0.2">
      <c r="C6" t="s">
        <v>1</v>
      </c>
      <c r="D6" t="s">
        <v>4</v>
      </c>
      <c r="E6" t="s">
        <v>35</v>
      </c>
      <c r="F6" t="s">
        <v>38</v>
      </c>
      <c r="H6" t="s">
        <v>17</v>
      </c>
      <c r="K6" t="s">
        <v>18</v>
      </c>
    </row>
    <row r="7" spans="3:11" x14ac:dyDescent="0.2">
      <c r="C7">
        <v>1</v>
      </c>
      <c r="D7" t="s">
        <v>2</v>
      </c>
      <c r="E7">
        <v>3</v>
      </c>
      <c r="F7">
        <f>IF(Table1[[#This Row],['#]]=1,0,F6+E6)</f>
        <v>0</v>
      </c>
      <c r="H7" t="s">
        <v>19</v>
      </c>
      <c r="K7" t="s">
        <v>27</v>
      </c>
    </row>
    <row r="8" spans="3:11" x14ac:dyDescent="0.2">
      <c r="C8">
        <v>2</v>
      </c>
      <c r="D8" t="s">
        <v>3</v>
      </c>
      <c r="E8">
        <v>3</v>
      </c>
      <c r="F8">
        <f>IF(Table1[[#This Row],['#]]=1,0,F7+E7)</f>
        <v>3</v>
      </c>
      <c r="H8" t="s">
        <v>20</v>
      </c>
      <c r="K8" t="s">
        <v>26</v>
      </c>
    </row>
    <row r="9" spans="3:11" x14ac:dyDescent="0.2">
      <c r="C9">
        <v>3</v>
      </c>
      <c r="D9" t="s">
        <v>60</v>
      </c>
      <c r="E9">
        <v>2</v>
      </c>
      <c r="F9">
        <f>IF(Table1[[#This Row],['#]]=1,0,F8+E8)</f>
        <v>6</v>
      </c>
      <c r="H9" t="s">
        <v>21</v>
      </c>
    </row>
    <row r="10" spans="3:11" x14ac:dyDescent="0.2">
      <c r="C10">
        <v>4</v>
      </c>
      <c r="D10" t="s">
        <v>61</v>
      </c>
      <c r="E10">
        <v>2</v>
      </c>
      <c r="F10">
        <f>IF(Table1[[#This Row],['#]]=1,0,F9+E9)</f>
        <v>8</v>
      </c>
      <c r="H10" t="s">
        <v>22</v>
      </c>
      <c r="K10" t="s">
        <v>25</v>
      </c>
    </row>
    <row r="11" spans="3:11" x14ac:dyDescent="0.2">
      <c r="C11">
        <v>5</v>
      </c>
      <c r="D11" t="s">
        <v>62</v>
      </c>
      <c r="E11">
        <v>2</v>
      </c>
      <c r="F11">
        <f>IF(Table1[[#This Row],['#]]=1,0,F10+E10)</f>
        <v>10</v>
      </c>
      <c r="H11" t="s">
        <v>23</v>
      </c>
      <c r="K11" t="s">
        <v>28</v>
      </c>
    </row>
    <row r="12" spans="3:11" x14ac:dyDescent="0.2">
      <c r="C12">
        <v>6</v>
      </c>
      <c r="D12" t="s">
        <v>63</v>
      </c>
      <c r="E12">
        <v>2</v>
      </c>
      <c r="F12">
        <f>IF(Table1[[#This Row],['#]]=1,0,F11+E11)</f>
        <v>12</v>
      </c>
      <c r="H12" t="s">
        <v>24</v>
      </c>
    </row>
    <row r="13" spans="3:11" x14ac:dyDescent="0.2">
      <c r="H13" t="s">
        <v>44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ThemeStyles</vt:lpstr>
      <vt:lpstr>Colours</vt:lpstr>
      <vt:lpstr>Lookup</vt:lpstr>
      <vt:lpstr>NumColourNames</vt:lpstr>
      <vt:lpstr>NumColourShades</vt:lpstr>
      <vt:lpstr>NumColourVariants</vt:lpstr>
      <vt:lpstr>NumElements</vt:lpstr>
      <vt:lpstr>NumStyleVariants</vt:lpstr>
      <vt:lpstr>ThemeName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Gaylard</dc:creator>
  <cp:lastModifiedBy>Thomas Gaylard</cp:lastModifiedBy>
  <dcterms:created xsi:type="dcterms:W3CDTF">2025-09-23T14:32:08Z</dcterms:created>
  <dcterms:modified xsi:type="dcterms:W3CDTF">2025-12-29T15:31:14Z</dcterms:modified>
</cp:coreProperties>
</file>